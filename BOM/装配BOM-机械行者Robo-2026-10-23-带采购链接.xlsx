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windowWidth="28800" windowHeight="12375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<sst xmlns="http://schemas.openxmlformats.org/spreadsheetml/2006/main" count="266" uniqueCount="135">
  <si>
    <t>序号</t>
  </si>
  <si>
    <t>类别</t>
  </si>
  <si>
    <t>名称</t>
  </si>
  <si>
    <t>原文件名</t>
  </si>
  <si>
    <t>材料</t>
  </si>
  <si>
    <t>数量</t>
  </si>
  <si>
    <t>单价</t>
  </si>
  <si>
    <t>总格</t>
  </si>
  <si>
    <t>网址</t>
  </si>
  <si>
    <t>一、3D打印件（需打印）</t>
  </si>
  <si>
    <t>3D打印件</t>
  </si>
  <si>
    <t>头部上壳</t>
  </si>
  <si>
    <t>top_head_shell_头部上壳.stp</t>
  </si>
  <si>
    <t>PLA</t>
  </si>
  <si>
    <t>https://item.taobao.com/item.htm?from=cart&amp;id=1083122166800&amp;mi_id=0000ywbZ5efl4VxxIGb0KHx-3C8BOS37n90MGBh_xmncHd4&amp;skuId=6306393642451&amp;spm=a1z0d.6639537%2F202410.item.d1083122166800.70527484LqKlHG&amp;upStreamPrice=13900</t>
  </si>
  <si>
    <t>头部下壳</t>
  </si>
  <si>
    <t>bottom_head_shell_头部下壳.stp</t>
  </si>
  <si>
    <t>面部零件</t>
  </si>
  <si>
    <t>face_part_面部零件.stp</t>
  </si>
  <si>
    <t>下巴</t>
  </si>
  <si>
    <t>jaw_下巴.stp</t>
  </si>
  <si>
    <t>软下巴</t>
  </si>
  <si>
    <t>jaw_soft_软下巴.stp</t>
  </si>
  <si>
    <t>建议改用TPU软料</t>
  </si>
  <si>
    <t>软嘴顶部</t>
  </si>
  <si>
    <t>soft_mouth_top_软嘴顶部.stp</t>
  </si>
  <si>
    <t>眼睛</t>
  </si>
  <si>
    <t>noenoeil_眼睛.stp</t>
  </si>
  <si>
    <t>颈部</t>
  </si>
  <si>
    <t>neck_颈部.stp</t>
  </si>
  <si>
    <t>建议铝合金</t>
  </si>
  <si>
    <t>颈部俯仰</t>
  </si>
  <si>
    <t>neck_pitch_颈部俯仰.stp</t>
  </si>
  <si>
    <t/>
  </si>
  <si>
    <t>躯干底座</t>
  </si>
  <si>
    <t>trunk_base_躯干底座.stp</t>
  </si>
  <si>
    <t>左壳</t>
  </si>
  <si>
    <t>left_shell_左壳.stp</t>
  </si>
  <si>
    <t>右壳</t>
  </si>
  <si>
    <t>right_shell_右壳.stp</t>
  </si>
  <si>
    <t>髋部左</t>
  </si>
  <si>
    <t>hip_l_髋部左.stp</t>
  </si>
  <si>
    <t>偏航转横滚</t>
  </si>
  <si>
    <t>yaw2roll_偏航转横滚.stp</t>
  </si>
  <si>
    <t>偏航横滚运动</t>
  </si>
  <si>
    <t>yaw_roll_motion_偏航横滚运动.stp</t>
  </si>
  <si>
    <t>腿部</t>
  </si>
  <si>
    <t>leg_腿部.stp</t>
  </si>
  <si>
    <t>左上腿</t>
  </si>
  <si>
    <t>left_upper_leg_左上腿.stp</t>
  </si>
  <si>
    <t>右上腿</t>
  </si>
  <si>
    <t>right_upper_leg_右上腿.stp</t>
  </si>
  <si>
    <t>上腿加固板</t>
  </si>
  <si>
    <t>upper_leg_rigidity_plate_上腿加固板.stp</t>
  </si>
  <si>
    <t>左脚</t>
  </si>
  <si>
    <t>foot_left_左脚.stp</t>
  </si>
  <si>
    <t>右脚</t>
  </si>
  <si>
    <t>foot_right_右脚.stp</t>
  </si>
  <si>
    <t>左脚底</t>
  </si>
  <si>
    <t>sole_left_左脚底.stp</t>
  </si>
  <si>
    <t>右脚底</t>
  </si>
  <si>
    <t>sole_right_右脚底.stp</t>
  </si>
  <si>
    <t>脚踝左</t>
  </si>
  <si>
    <t>ankle_left_脚踝左.stp</t>
  </si>
  <si>
    <t>脚踝右</t>
  </si>
  <si>
    <t>ankle_right_脚踝右.stp</t>
  </si>
  <si>
    <t>脚踝左(V1备选)</t>
  </si>
  <si>
    <t>ankle_l_v1_脚踝左V1.stp</t>
  </si>
  <si>
    <t>脚踝右(V1备选)</t>
  </si>
  <si>
    <t>ankle_r_v1_脚踝右V1.stp</t>
  </si>
  <si>
    <t>合体轮胎</t>
  </si>
  <si>
    <t>合体轮胎.stp</t>
  </si>
  <si>
    <t>滚轮叶片</t>
  </si>
  <si>
    <t>roller_blade_滚轮叶片.stp</t>
  </si>
  <si>
    <t>电机支架</t>
  </si>
  <si>
    <t>motor_support_电机支架.stp</t>
  </si>
  <si>
    <t>电源支架</t>
  </si>
  <si>
    <t>power_support_电源支架.stp</t>
  </si>
  <si>
    <t>香蕉形PCB锁扣</t>
  </si>
  <si>
    <t>banana_pcb_locker_香蕉形PCB锁扣.stp</t>
  </si>
  <si>
    <t>轴承滚轮</t>
  </si>
  <si>
    <t>bearing_roll_轴承滚轮.stp</t>
  </si>
  <si>
    <t>二、外购标准件（无需打印）</t>
  </si>
  <si>
    <t>外购件</t>
  </si>
  <si>
    <t>Radxa Zero 3W 主控板</t>
  </si>
  <si>
    <t>电子件</t>
  </si>
  <si>
    <t>https://item.taobao.com/item.htm?id=763812025816&amp;last_time=1790655696&amp;mi_id=0000M9KvAKZdKHX6irXd93nZ9S8044VLMp9XHfosSxlXgV0&amp;scm=1007.13982.82927.0&amp;spm=tbpc.mytb_footmark.item.goods&amp;upStreamPrice=88800</t>
  </si>
  <si>
    <t>64GB TF 卡</t>
  </si>
  <si>
    <t>树莓派机器人HAT电路板</t>
  </si>
  <si>
    <t>可拼团 github</t>
  </si>
  <si>
    <t>https://github.com/fanhao375/microduck-replica</t>
  </si>
  <si>
    <t>imu_to_dxl电路板</t>
  </si>
  <si>
    <t>可拼团github</t>
  </si>
  <si>
    <t>飞特HD1901M舵机</t>
  </si>
  <si>
    <t>飞特舵机URT2调试板</t>
  </si>
  <si>
    <t>https://item.taobao.com/item.htm?spm=a1z0d.6639537%2F202410.item.d575365901461.511774843C6ViG&amp;id=575365901461&amp;xxc=shop&amp;from=cart&amp;skuId=5435424470243&amp;mi_id=0000xzcmwFVCRAh37nhTBqqPxAc4BB-aXBAZs9-SHZnxT_s</t>
  </si>
  <si>
    <t>NP-F550电池</t>
  </si>
  <si>
    <t>https://item.taobao.com/item.htm?adType=orgqzt&amp;from=cart&amp;id=769425140324&amp;mi_id=00009VN3uJH9Mvl1nh6sR6uszyaiYL6FFhvjGBj6PAaJbUg&amp;skuId=5445604550341&amp;spm=a1z0d.6639537%2F202410.item.d769425140324.5a377484k96nZS&amp;upStreamPrice=5500&amp;xxc=qzt_taobaoSearch</t>
  </si>
  <si>
    <t>AMP2.0双头转接线 microduck 舵机线</t>
  </si>
  <si>
    <t>调试用</t>
  </si>
  <si>
    <t>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</t>
  </si>
  <si>
    <t>2.5mm香蕉插头PCB铜镀金</t>
  </si>
  <si>
    <t>https://item.taobao.com/item.htm?from=cart&amp;id=1066300439603&amp;mi_id=0000idrzZ0iZmNePV-H8uLJ0q--7Nuk50iH4KmlQjt7l16Q&amp;skuId=6116801109787&amp;spm=a1z0d.6639537%2F202410.item.d1066300439603.20807484wDo29i&amp;upStreamPrice=160</t>
  </si>
  <si>
    <t>banana PCB</t>
  </si>
  <si>
    <t>嘉立创</t>
  </si>
  <si>
    <t>IMX219摄像头模块</t>
  </si>
  <si>
    <t>光学件</t>
  </si>
  <si>
    <t>https://detail.tmall.com/item.htm?id=775872575316</t>
  </si>
  <si>
    <t>VL53L8CX ToF 模块</t>
  </si>
  <si>
    <t>https://item.taobao.com/item.htm?from=cart&amp;id=737603917521&amp;mi_id=0000svFiYCCRNyTplS2syupd6wPqm_3g253yiYEiJIUzYWg&amp;skuId=5090650052053&amp;spm=a1z0d.6639537%2F202410.item.d737603917521.12a97484LeTNU7&amp;upStreamPrice=4950</t>
  </si>
  <si>
    <t>扬声器</t>
  </si>
  <si>
    <t>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</t>
  </si>
  <si>
    <t>轴承 10×15×3</t>
  </si>
  <si>
    <t>标准件</t>
  </si>
  <si>
    <t>https://item.taobao.com/item.htm?id=670727787832</t>
  </si>
  <si>
    <t>轴承 16×22×4</t>
  </si>
  <si>
    <t>https://item.taobao.com/item.htm?id=539024647147&amp;skuId=5716548727712</t>
  </si>
  <si>
    <t>轴承 6×12×3</t>
  </si>
  <si>
    <t>轮滑鞋用轴承</t>
  </si>
  <si>
    <t>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</t>
  </si>
  <si>
    <t>自攻螺丝 平尾M2×5</t>
  </si>
  <si>
    <t>1包</t>
  </si>
  <si>
    <t>https://detail.tmall.com/item.htm?id=534923831046&amp;mi_id=0000lLHxCRqtZ8_pqc3QGIagm4EgOL8KYhEEg_ZEZdQEaCI&amp;spm=tbpc.boughtlist.suborder_itemtitle.1.c3892e8dY9OLZg</t>
  </si>
  <si>
    <t>自攻螺丝 平尾M2×6</t>
  </si>
  <si>
    <t>自攻螺丝 平尾M2×8</t>
  </si>
  <si>
    <t>自攻螺丝 平尾M2.5×6</t>
  </si>
  <si>
    <t>https://item.taobao.com/item.htm?spm=a1z0d.6639537%2F202410.item.d534923831046.10db74840oHq5F&amp;id=534923831046&amp;from=cart&amp;skuId=5947341310639&amp;mi_id=0000RGt64BzUSirBb2ZGiESDHLYHZCCldpvt2pjiQe6DwTE&amp;upStreamPrice=700</t>
  </si>
  <si>
    <t>自攻螺丝 平尾M2.5×8</t>
  </si>
  <si>
    <t>https://item.taobao.com/item.htm?spm=a1z0d.6639537%2F202410.item.d534923831046.10db74840oHq5F&amp;id=534923831046&amp;from=cart&amp;skuId=5947341310640&amp;mi_id=0000RGt64BzUSirBb2ZGiESDHLYHZCCldpvt2pjiQe6DwTE&amp;upStreamPrice=700</t>
  </si>
  <si>
    <t>乐泰螺纹胶243</t>
  </si>
  <si>
    <t>https://item.taobao.com/item.htm?adType=orgqzt&amp;from=cart&amp;id=1056442610986&amp;mi_id=0000wOojFoJyiP5dQudTpjmjzfZLEEq7GLdMEB8DaDqMa7Y&amp;skuId=6099342537028&amp;spm=a1z0d.6639537%2F202410.item.d1056442610986.44d57484Ny8pKV&amp;upStreamPrice=900&amp;xxc=qzt_taobaoSearch</t>
  </si>
  <si>
    <t>鞋底防滑垫</t>
  </si>
  <si>
    <t>https://detail.tmall.com/item.htm?id=888852278057&amp;mi_id=0000Bug6nFYlEVkT2CGWMwXKqUSbi-0G_VP4pnfiGwBOnrU&amp;spm=tbpc.boughtlist.suborder_itemtitle.1.c3892e8dY9OLZg&amp;skuId=5902232407790</t>
  </si>
  <si>
    <t>合计：3D打印件 33 项 / 外购件 23项</t>
  </si>
  <si>
    <r>
      <rPr>
        <sz val="11"/>
        <color theme="1"/>
        <rFont val="宋体"/>
        <charset val="134"/>
        <scheme val="minor"/>
      </rPr>
      <t xml:space="preserve">
</t>
    </r>
    <r>
      <rPr>
        <b/>
        <sz val="16"/>
        <color rgb="FFFF0000"/>
        <rFont val="宋体"/>
        <charset val="134"/>
        <scheme val="minor"/>
      </rPr>
      <t>说明：</t>
    </r>
    <r>
      <rPr>
        <sz val="11"/>
        <color theme="1"/>
        <rFont val="宋体"/>
        <charset val="134"/>
        <scheme val="minor"/>
      </rPr>
      <t xml:space="preserve">
🦆 人人都可以拥有属于自己的 MicroDuck！
💰 项目成本说明
除 15 个舵机、HAT 板和 IMU 板 外，其余硬件成本约为 828 元。
15 个舵机、HAT 板和 IMU 板 可以通过 GitHub 项目参与拼团，也可以根据需求在 嘉立创、淘宝 等平台自行购买。
后续我们还会陆续开源 安装教程、调试教程，帮助大家更方便地完成 MicroDuck 的组装与调试。
🤖 为什么要开源？
我们希望让更多人能够以更低的成本接触和学习 具身智能、机器人控制与强化学习。
人人都有属于自己的一只鸭子。
通过开源，我们希望和大家一起打造一个更加开放、友好的学习环境，让更多人能够动手实践，从零开始探索具身智能。
如果这个项目对你有所帮助，点个赞就是对我们最大的支持 ❤️
也欢迎大家关注我们的 GitHub，帮忙点个 Star ⭐！
🔗 GitHub：
https://github.com/fanhao375/microduck-replica
📕 小红书：机械行者
🎵 抖音：机械行者Robo
B站：机械行者Robo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</si>
</sst>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9"/>
      <color rgb="FF5959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b/>
      <sz val="1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0" fillId="7" borderId="1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8" borderId="15">
      <alignment vertical="center"/>
    </xf>
    <xf numFmtId="0" fontId="18" fillId="9" borderId="16">
      <alignment vertical="center"/>
    </xf>
    <xf numFmtId="0" fontId="19" fillId="9" borderId="15">
      <alignment vertical="center"/>
    </xf>
    <xf numFmtId="0" fontId="20" fillId="10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4" fillId="0" borderId="0" xfId="6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0" borderId="0" xfId="6" applyFill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7" fillId="0" borderId="0" xfId="6" applyFont="1" applyFill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2" xfId="6" applyFont="1" applyFill="1" applyBorder="1" applyAlignment="1">
      <alignment horizontal="left" vertical="center"/>
    </xf>
    <xf numFmtId="0" fontId="0" fillId="0" borderId="0" xfId="0" applyAlignment="1"/>
    <xf numFmtId="0" fontId="9" fillId="6" borderId="1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6" borderId="1" xfId="0" applyFill="1" applyBorder="1"/>
    <xf numFmtId="0" fontId="10" fillId="6" borderId="1" xfId="0" applyFont="1" applyFill="1" applyBorder="1" applyAlignment="1">
      <alignment horizontal="center"/>
    </xf>
    <xf numFmtId="0" fontId="0" fillId="6" borderId="2" xfId="0" applyFill="1" applyBorder="1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adType=orgqzt&amp;from=cart&amp;id=1056442610986&amp;mi_id=0000wOojFoJyiP5dQudTpjmjzfZLEEq7GLdMEB8DaDqMa7Y&amp;skuId=6099342537028&amp;spm=a1z0d.6639537%2F202410.item.d1056442610986.44d57484Ny8pKV&amp;upStreamPrice=900&amp;xxc=qzt_taobaoSearch" TargetMode="External"/><Relationship Id="rId8" Type="http://schemas.openxmlformats.org/officeDocument/2006/relationships/hyperlink" Target="https://item.taobao.com/item.htm?from=cart&amp;id=1083122166800&amp;mi_id=0000ywbZ5efl4VxxIGb0KHx-3C8BOS37n90MGBh_xmncHd4&amp;skuId=6306393642451&amp;spm=a1z0d.6639537%2F202410.item.d1083122166800.70527484LqKlHG&amp;upStreamPrice=13900" TargetMode="External"/><Relationship Id="rId7" Type="http://schemas.openxmlformats.org/officeDocument/2006/relationships/hyperlink" Target="https://item.taobao.com/item.htm?id=670727787832" TargetMode="External"/><Relationship Id="rId6" Type="http://schemas.openxmlformats.org/officeDocument/2006/relationships/hyperlink" Target="https://item.taobao.com/item.htm?id=539024647147&amp;skuId=5716548727712" TargetMode="External"/><Relationship Id="rId5" Type="http://schemas.openxmlformats.org/officeDocument/2006/relationships/hyperlink" Target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 TargetMode="External"/><Relationship Id="rId4" Type="http://schemas.openxmlformats.org/officeDocument/2006/relationships/hyperlink" Target="https://detail.tmall.com/item.htm?id=775872575316" TargetMode="External"/><Relationship Id="rId3" Type="http://schemas.openxmlformats.org/officeDocument/2006/relationships/hyperlink" Target="https://item.taobao.com/item.htm?from=cart&amp;id=737603917521&amp;mi_id=0000svFiYCCRNyTplS2syupd6wPqm_3g253yiYEiJIUzYWg&amp;skuId=5090650052053&amp;spm=a1z0d.6639537%2F202410.item.d737603917521.12a97484LeTNU7&amp;upStreamPrice=4950" TargetMode="External"/><Relationship Id="rId2" Type="http://schemas.openxmlformats.org/officeDocument/2006/relationships/hyperlink" Target="https://item.taobao.com/item.htm?id=763812025816&amp;last_time=1790655696&amp;mi_id=0000M9KvAKZdKHX6irXd93nZ9S8044VLMp9XHfosSxlXgV0&amp;scm=1007.13982.82927.0&amp;spm=tbpc.mytb_footmark.item.goods&amp;upStreamPrice=88800" TargetMode="External"/><Relationship Id="rId18" Type="http://schemas.openxmlformats.org/officeDocument/2006/relationships/hyperlink" Target="https://item.taobao.com/item.htm?adType=orgqzt&amp;from=cart&amp;id=769425140324&amp;mi_id=00009VN3uJH9Mvl1nh6sR6uszyaiYL6FFhvjGBj6PAaJbUg&amp;skuId=5445604550341&amp;spm=a1z0d.6639537%2F202410.item.d769425140324.5a377484k96nZS&amp;upStreamPrice=5500&amp;xxc=qzt_taobaoSearch" TargetMode="External"/><Relationship Id="rId17" Type="http://schemas.openxmlformats.org/officeDocument/2006/relationships/hyperlink" Target="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" TargetMode="External"/><Relationship Id="rId16" Type="http://schemas.openxmlformats.org/officeDocument/2006/relationships/hyperlink" Target="https://item.taobao.com/item.htm?spm=a1z0d.6639537%2F202410.item.d534923831046.10db74840oHq5F&amp;id=534923831046&amp;from=cart&amp;skuId=5947341310640&amp;mi_id=0000RGt64BzUSirBb2ZGiESDHLYHZCCldpvt2pjiQe6DwTE&amp;upStreamPrice=700" TargetMode="External"/><Relationship Id="rId15" Type="http://schemas.openxmlformats.org/officeDocument/2006/relationships/hyperlink" Target="https://item.taobao.com/item.htm?spm=a1z0d.6639537%2F202410.item.d534923831046.10db74840oHq5F&amp;id=534923831046&amp;from=cart&amp;skuId=5947341310639&amp;mi_id=0000RGt64BzUSirBb2ZGiESDHLYHZCCldpvt2pjiQe6DwTE&amp;upStreamPrice=700" TargetMode="External"/><Relationship Id="rId14" Type="http://schemas.openxmlformats.org/officeDocument/2006/relationships/hyperlink" Target="https://detail.tmall.com/item.htm?id=534923831046&amp;mi_id=0000lLHxCRqtZ8_pqc3QGIagm4EgOL8KYhEEg_ZEZdQEaCI&amp;spm=tbpc.boughtlist.suborder_itemtitle.1.c3892e8dY9OLZg" TargetMode="External"/><Relationship Id="rId13" Type="http://schemas.openxmlformats.org/officeDocument/2006/relationships/hyperlink" Target="https://detail.tmall.com/item.htm?id=888852278057&amp;mi_id=0000Bug6nFYlEVkT2CGWMwXKqUSbi-0G_VP4pnfiGwBOnrU&amp;spm=tbpc.boughtlist.suborder_itemtitle.1.c3892e8dY9OLZg&amp;skuId=5902232407790" TargetMode="External"/><Relationship Id="rId12" Type="http://schemas.openxmlformats.org/officeDocument/2006/relationships/hyperlink" Target="https://item.taobao.com/item.htm?from=cart&amp;id=1066300439603&amp;mi_id=0000idrzZ0iZmNePV-H8uLJ0q--7Nuk50iH4KmlQjt7l16Q&amp;skuId=6116801109787&amp;spm=a1z0d.6639537%2F202410.item.d1066300439603.20807484wDo29i&amp;upStreamPrice=160" TargetMode="External"/><Relationship Id="rId11" Type="http://schemas.openxmlformats.org/officeDocument/2006/relationships/hyperlink" Target="https://github.com/fanhao375/microduck-replica" TargetMode="External"/><Relationship Id="rId10" Type="http://schemas.openxmlformats.org/officeDocument/2006/relationships/hyperlink" Target="https://item.taobao.com/item.htm?spm=a1z0d.6639537%2F202410.item.d575365901461.511774843C6ViG&amp;id=575365901461&amp;xxc=shop&amp;from=cart&amp;skuId=5435424470243&amp;mi_id=0000xzcmwFVCRAh37nhTBqqPxAc4BB-aXBAZs9-SHZnxT_s" TargetMode="External"/><Relationship Id="rId1" Type="http://schemas.openxmlformats.org/officeDocument/2006/relationships/hyperlink" Target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tabSelected="1" workbookViewId="0">
      <pane ySplit="1" topLeftCell="A45" activePane="bottomLeft" state="frozen"/>
      <selection/>
      <selection pane="bottomLeft" activeCell="I52" sqref="I52"/>
    </sheetView>
  </sheetViews>
  <sheetFormatPr defaultColWidth="9" defaultRowHeight="13.5"/>
  <cols>
    <col min="1" max="1" width="6" customWidth="1"/>
    <col min="2" max="2" width="12" customWidth="1"/>
    <col min="3" max="3" width="22" customWidth="1"/>
    <col min="4" max="4" width="34.125" customWidth="1"/>
    <col min="5" max="6" width="13.375" customWidth="1"/>
    <col min="7" max="7" width="8" customWidth="1"/>
    <col min="8" max="8" width="19.875" customWidth="1"/>
    <col min="9" max="9" width="14.5" customWidth="1"/>
    <col min="10" max="10" width="49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2" t="s">
        <v>8</v>
      </c>
    </row>
    <row r="2" spans="1:10">
      <c r="A2" s="3" t="s">
        <v>9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5">
        <v>1</v>
      </c>
      <c r="B3" s="5" t="s">
        <v>10</v>
      </c>
      <c r="C3" s="6" t="s">
        <v>11</v>
      </c>
      <c r="D3" s="7" t="s">
        <v>12</v>
      </c>
      <c r="E3" s="5" t="s">
        <v>13</v>
      </c>
      <c r="F3" s="8"/>
      <c r="G3" s="5">
        <v>1</v>
      </c>
      <c r="H3" s="9"/>
      <c r="I3" s="10">
        <v>139</v>
      </c>
      <c r="J3" s="11" t="s">
        <v>14</v>
      </c>
    </row>
    <row r="4" spans="1:10">
      <c r="A4" s="5">
        <v>2</v>
      </c>
      <c r="B4" s="5" t="s">
        <v>10</v>
      </c>
      <c r="C4" s="6" t="s">
        <v>15</v>
      </c>
      <c r="D4" s="7" t="s">
        <v>16</v>
      </c>
      <c r="E4" s="5" t="s">
        <v>13</v>
      </c>
      <c r="F4" s="8"/>
      <c r="G4" s="5">
        <v>1</v>
      </c>
      <c r="H4" s="12"/>
      <c r="I4" s="13"/>
      <c r="J4" s="13"/>
    </row>
    <row r="5" spans="1:10">
      <c r="A5" s="5">
        <v>3</v>
      </c>
      <c r="B5" s="5" t="s">
        <v>10</v>
      </c>
      <c r="C5" s="6" t="s">
        <v>17</v>
      </c>
      <c r="D5" s="7" t="s">
        <v>18</v>
      </c>
      <c r="E5" s="5" t="s">
        <v>13</v>
      </c>
      <c r="F5" s="8"/>
      <c r="G5" s="5">
        <v>1</v>
      </c>
      <c r="H5" s="12"/>
      <c r="I5" s="13"/>
      <c r="J5" s="13"/>
    </row>
    <row r="6" spans="1:10">
      <c r="A6" s="5">
        <v>4</v>
      </c>
      <c r="B6" s="5" t="s">
        <v>10</v>
      </c>
      <c r="C6" s="6" t="s">
        <v>19</v>
      </c>
      <c r="D6" s="7" t="s">
        <v>20</v>
      </c>
      <c r="E6" s="5" t="s">
        <v>13</v>
      </c>
      <c r="F6" s="8"/>
      <c r="G6" s="5">
        <v>1</v>
      </c>
      <c r="H6" s="12"/>
      <c r="I6" s="13"/>
      <c r="J6" s="13"/>
    </row>
    <row r="7" ht="27" spans="1:10">
      <c r="A7" s="5">
        <v>5</v>
      </c>
      <c r="B7" s="5" t="s">
        <v>10</v>
      </c>
      <c r="C7" s="6" t="s">
        <v>21</v>
      </c>
      <c r="D7" s="7" t="s">
        <v>22</v>
      </c>
      <c r="E7" s="5" t="s">
        <v>13</v>
      </c>
      <c r="F7" s="14" t="s">
        <v>23</v>
      </c>
      <c r="G7" s="5">
        <v>1</v>
      </c>
      <c r="H7" s="15"/>
      <c r="I7" s="13"/>
      <c r="J7" s="13"/>
    </row>
    <row r="8" ht="27" spans="1:10">
      <c r="A8" s="5">
        <v>6</v>
      </c>
      <c r="B8" s="5" t="s">
        <v>10</v>
      </c>
      <c r="C8" s="16" t="s">
        <v>24</v>
      </c>
      <c r="D8" s="7" t="s">
        <v>25</v>
      </c>
      <c r="E8" s="5" t="s">
        <v>13</v>
      </c>
      <c r="F8" s="14" t="s">
        <v>23</v>
      </c>
      <c r="G8" s="5">
        <v>1</v>
      </c>
      <c r="H8" s="15"/>
      <c r="I8" s="13"/>
      <c r="J8" s="13"/>
    </row>
    <row r="9" spans="1:10">
      <c r="A9" s="5">
        <v>7</v>
      </c>
      <c r="B9" s="5" t="s">
        <v>10</v>
      </c>
      <c r="C9" s="6" t="s">
        <v>26</v>
      </c>
      <c r="D9" s="7" t="s">
        <v>27</v>
      </c>
      <c r="E9" s="5" t="s">
        <v>13</v>
      </c>
      <c r="F9" s="14"/>
      <c r="G9" s="5">
        <v>1</v>
      </c>
      <c r="H9" s="15"/>
      <c r="I9" s="13"/>
      <c r="J9" s="13"/>
    </row>
    <row r="10" spans="1:10">
      <c r="A10" s="5">
        <v>8</v>
      </c>
      <c r="B10" s="5" t="s">
        <v>10</v>
      </c>
      <c r="C10" s="6" t="s">
        <v>28</v>
      </c>
      <c r="D10" s="7" t="s">
        <v>29</v>
      </c>
      <c r="E10" s="5" t="s">
        <v>13</v>
      </c>
      <c r="F10" s="14" t="s">
        <v>30</v>
      </c>
      <c r="G10" s="5">
        <v>2</v>
      </c>
      <c r="H10" s="15"/>
      <c r="I10" s="13"/>
      <c r="J10" s="13"/>
    </row>
    <row r="11" spans="1:10">
      <c r="A11" s="5">
        <v>9</v>
      </c>
      <c r="B11" s="5" t="s">
        <v>10</v>
      </c>
      <c r="C11" s="6" t="s">
        <v>31</v>
      </c>
      <c r="D11" s="7" t="s">
        <v>32</v>
      </c>
      <c r="E11" s="5" t="s">
        <v>13</v>
      </c>
      <c r="F11" s="14" t="s">
        <v>33</v>
      </c>
      <c r="G11" s="5">
        <v>1</v>
      </c>
      <c r="H11" s="15"/>
      <c r="I11" s="13"/>
      <c r="J11" s="13"/>
    </row>
    <row r="12" spans="1:10">
      <c r="A12" s="5">
        <v>10</v>
      </c>
      <c r="B12" s="5" t="s">
        <v>10</v>
      </c>
      <c r="C12" s="6" t="s">
        <v>34</v>
      </c>
      <c r="D12" s="7" t="s">
        <v>35</v>
      </c>
      <c r="E12" s="5" t="s">
        <v>13</v>
      </c>
      <c r="F12" s="14" t="s">
        <v>30</v>
      </c>
      <c r="G12" s="5">
        <v>1</v>
      </c>
      <c r="H12" s="15"/>
      <c r="I12" s="13"/>
      <c r="J12" s="13"/>
    </row>
    <row r="13" spans="1:10">
      <c r="A13" s="5">
        <v>11</v>
      </c>
      <c r="B13" s="5" t="s">
        <v>10</v>
      </c>
      <c r="C13" s="6" t="s">
        <v>36</v>
      </c>
      <c r="D13" s="7" t="s">
        <v>37</v>
      </c>
      <c r="E13" s="5" t="s">
        <v>13</v>
      </c>
      <c r="F13" s="14" t="s">
        <v>33</v>
      </c>
      <c r="G13" s="5">
        <v>1</v>
      </c>
      <c r="H13" s="15"/>
      <c r="I13" s="13"/>
      <c r="J13" s="13"/>
    </row>
    <row r="14" spans="1:10">
      <c r="A14" s="5">
        <v>12</v>
      </c>
      <c r="B14" s="5" t="s">
        <v>10</v>
      </c>
      <c r="C14" s="6" t="s">
        <v>38</v>
      </c>
      <c r="D14" s="7" t="s">
        <v>39</v>
      </c>
      <c r="E14" s="5" t="s">
        <v>13</v>
      </c>
      <c r="F14" s="14" t="s">
        <v>33</v>
      </c>
      <c r="G14" s="5">
        <v>1</v>
      </c>
      <c r="H14" s="15"/>
      <c r="I14" s="13"/>
      <c r="J14" s="13"/>
    </row>
    <row r="15" spans="1:10">
      <c r="A15" s="5">
        <v>13</v>
      </c>
      <c r="B15" s="5" t="s">
        <v>10</v>
      </c>
      <c r="C15" s="6" t="s">
        <v>40</v>
      </c>
      <c r="D15" s="7" t="s">
        <v>41</v>
      </c>
      <c r="E15" s="5" t="s">
        <v>13</v>
      </c>
      <c r="F15" s="14"/>
      <c r="G15" s="5">
        <v>2</v>
      </c>
      <c r="H15" s="15"/>
      <c r="I15" s="13"/>
      <c r="J15" s="13"/>
    </row>
    <row r="16" spans="1:10">
      <c r="A16" s="5">
        <v>14</v>
      </c>
      <c r="B16" s="5" t="s">
        <v>10</v>
      </c>
      <c r="C16" s="6" t="s">
        <v>42</v>
      </c>
      <c r="D16" s="7" t="s">
        <v>43</v>
      </c>
      <c r="E16" s="5" t="s">
        <v>13</v>
      </c>
      <c r="F16" s="14" t="s">
        <v>33</v>
      </c>
      <c r="G16" s="5">
        <v>1</v>
      </c>
      <c r="H16" s="15"/>
      <c r="I16" s="13"/>
      <c r="J16" s="13"/>
    </row>
    <row r="17" spans="1:10">
      <c r="A17" s="5">
        <v>15</v>
      </c>
      <c r="B17" s="5" t="s">
        <v>10</v>
      </c>
      <c r="C17" s="6" t="s">
        <v>44</v>
      </c>
      <c r="D17" s="7" t="s">
        <v>45</v>
      </c>
      <c r="E17" s="5" t="s">
        <v>13</v>
      </c>
      <c r="F17" s="14"/>
      <c r="G17" s="5">
        <v>1</v>
      </c>
      <c r="H17" s="15"/>
      <c r="I17" s="13"/>
      <c r="J17" s="13"/>
    </row>
    <row r="18" spans="1:10">
      <c r="A18" s="5">
        <v>16</v>
      </c>
      <c r="B18" s="5" t="s">
        <v>10</v>
      </c>
      <c r="C18" s="6" t="s">
        <v>46</v>
      </c>
      <c r="D18" s="7" t="s">
        <v>47</v>
      </c>
      <c r="E18" s="5" t="s">
        <v>13</v>
      </c>
      <c r="F18" s="14"/>
      <c r="G18" s="5">
        <v>2</v>
      </c>
      <c r="H18" s="15"/>
      <c r="I18" s="13"/>
      <c r="J18" s="13"/>
    </row>
    <row r="19" spans="1:10">
      <c r="A19" s="5">
        <v>17</v>
      </c>
      <c r="B19" s="5" t="s">
        <v>10</v>
      </c>
      <c r="C19" s="6" t="s">
        <v>48</v>
      </c>
      <c r="D19" s="7" t="s">
        <v>49</v>
      </c>
      <c r="E19" s="5" t="s">
        <v>13</v>
      </c>
      <c r="F19" s="14"/>
      <c r="G19" s="5">
        <v>1</v>
      </c>
      <c r="H19" s="15"/>
      <c r="I19" s="13"/>
      <c r="J19" s="13"/>
    </row>
    <row r="20" spans="1:10">
      <c r="A20" s="5">
        <v>18</v>
      </c>
      <c r="B20" s="5" t="s">
        <v>10</v>
      </c>
      <c r="C20" s="6" t="s">
        <v>50</v>
      </c>
      <c r="D20" s="7" t="s">
        <v>51</v>
      </c>
      <c r="E20" s="5" t="s">
        <v>13</v>
      </c>
      <c r="F20" s="14"/>
      <c r="G20" s="5">
        <v>1</v>
      </c>
      <c r="H20" s="15"/>
      <c r="I20" s="13"/>
      <c r="J20" s="13"/>
    </row>
    <row r="21" spans="1:10">
      <c r="A21" s="5">
        <v>19</v>
      </c>
      <c r="B21" s="5" t="s">
        <v>10</v>
      </c>
      <c r="C21" s="6" t="s">
        <v>52</v>
      </c>
      <c r="D21" s="7" t="s">
        <v>53</v>
      </c>
      <c r="E21" s="5" t="s">
        <v>13</v>
      </c>
      <c r="F21" s="14" t="s">
        <v>30</v>
      </c>
      <c r="G21" s="5">
        <v>2</v>
      </c>
      <c r="H21" s="15"/>
      <c r="I21" s="13"/>
      <c r="J21" s="13"/>
    </row>
    <row r="22" spans="1:10">
      <c r="A22" s="5">
        <v>20</v>
      </c>
      <c r="B22" s="5" t="s">
        <v>10</v>
      </c>
      <c r="C22" s="6" t="s">
        <v>54</v>
      </c>
      <c r="D22" s="7" t="s">
        <v>55</v>
      </c>
      <c r="E22" s="5" t="s">
        <v>13</v>
      </c>
      <c r="F22" s="14" t="s">
        <v>33</v>
      </c>
      <c r="G22" s="5">
        <v>1</v>
      </c>
      <c r="H22" s="15"/>
      <c r="I22" s="13"/>
      <c r="J22" s="13"/>
    </row>
    <row r="23" spans="1:10">
      <c r="A23" s="5">
        <v>21</v>
      </c>
      <c r="B23" s="5" t="s">
        <v>10</v>
      </c>
      <c r="C23" s="6" t="s">
        <v>56</v>
      </c>
      <c r="D23" s="7" t="s">
        <v>57</v>
      </c>
      <c r="E23" s="5" t="s">
        <v>13</v>
      </c>
      <c r="F23" s="14" t="s">
        <v>33</v>
      </c>
      <c r="G23" s="5">
        <v>1</v>
      </c>
      <c r="H23" s="15"/>
      <c r="I23" s="13"/>
      <c r="J23" s="13"/>
    </row>
    <row r="24" spans="1:10">
      <c r="A24" s="5">
        <v>22</v>
      </c>
      <c r="B24" s="5" t="s">
        <v>10</v>
      </c>
      <c r="C24" s="6" t="s">
        <v>58</v>
      </c>
      <c r="D24" s="7" t="s">
        <v>59</v>
      </c>
      <c r="E24" s="5" t="s">
        <v>13</v>
      </c>
      <c r="F24" s="14" t="s">
        <v>33</v>
      </c>
      <c r="G24" s="5">
        <v>1</v>
      </c>
      <c r="H24" s="15"/>
      <c r="I24" s="13"/>
      <c r="J24" s="13"/>
    </row>
    <row r="25" spans="1:10">
      <c r="A25" s="5">
        <v>23</v>
      </c>
      <c r="B25" s="5" t="s">
        <v>10</v>
      </c>
      <c r="C25" s="6" t="s">
        <v>60</v>
      </c>
      <c r="D25" s="7" t="s">
        <v>61</v>
      </c>
      <c r="E25" s="5" t="s">
        <v>13</v>
      </c>
      <c r="F25" s="14" t="s">
        <v>33</v>
      </c>
      <c r="G25" s="5">
        <v>1</v>
      </c>
      <c r="H25" s="15"/>
      <c r="I25" s="13"/>
      <c r="J25" s="13"/>
    </row>
    <row r="26" spans="1:10">
      <c r="A26" s="5">
        <v>24</v>
      </c>
      <c r="B26" s="5" t="s">
        <v>10</v>
      </c>
      <c r="C26" s="6" t="s">
        <v>62</v>
      </c>
      <c r="D26" s="7" t="s">
        <v>63</v>
      </c>
      <c r="E26" s="5" t="s">
        <v>13</v>
      </c>
      <c r="F26" s="14" t="s">
        <v>33</v>
      </c>
      <c r="G26" s="5">
        <v>1</v>
      </c>
      <c r="H26" s="15"/>
      <c r="I26" s="13"/>
      <c r="J26" s="13"/>
    </row>
    <row r="27" spans="1:10">
      <c r="A27" s="5">
        <v>25</v>
      </c>
      <c r="B27" s="5" t="s">
        <v>10</v>
      </c>
      <c r="C27" s="6" t="s">
        <v>64</v>
      </c>
      <c r="D27" s="7" t="s">
        <v>65</v>
      </c>
      <c r="E27" s="5" t="s">
        <v>13</v>
      </c>
      <c r="F27" s="14" t="s">
        <v>33</v>
      </c>
      <c r="G27" s="5">
        <v>1</v>
      </c>
      <c r="H27" s="15"/>
      <c r="I27" s="13"/>
      <c r="J27" s="13"/>
    </row>
    <row r="28" spans="1:10">
      <c r="A28" s="5">
        <v>26</v>
      </c>
      <c r="B28" s="5" t="s">
        <v>10</v>
      </c>
      <c r="C28" s="6" t="s">
        <v>66</v>
      </c>
      <c r="D28" s="7" t="s">
        <v>67</v>
      </c>
      <c r="E28" s="5" t="s">
        <v>13</v>
      </c>
      <c r="F28" s="14"/>
      <c r="G28" s="5">
        <v>1</v>
      </c>
      <c r="H28" s="15"/>
      <c r="I28" s="13"/>
      <c r="J28" s="13"/>
    </row>
    <row r="29" spans="1:10">
      <c r="A29" s="5">
        <v>27</v>
      </c>
      <c r="B29" s="5" t="s">
        <v>10</v>
      </c>
      <c r="C29" s="6" t="s">
        <v>68</v>
      </c>
      <c r="D29" s="7" t="s">
        <v>69</v>
      </c>
      <c r="E29" s="5" t="s">
        <v>13</v>
      </c>
      <c r="F29" s="14"/>
      <c r="G29" s="5">
        <v>1</v>
      </c>
      <c r="H29" s="15"/>
      <c r="I29" s="13"/>
      <c r="J29" s="13"/>
    </row>
    <row r="30" spans="1:10">
      <c r="A30" s="5">
        <v>28</v>
      </c>
      <c r="B30" s="5" t="s">
        <v>10</v>
      </c>
      <c r="C30" s="6" t="s">
        <v>70</v>
      </c>
      <c r="D30" s="7" t="s">
        <v>71</v>
      </c>
      <c r="E30" s="5" t="s">
        <v>13</v>
      </c>
      <c r="F30" s="14"/>
      <c r="G30" s="5">
        <v>4</v>
      </c>
      <c r="H30" s="15"/>
      <c r="I30" s="13"/>
      <c r="J30" s="13"/>
    </row>
    <row r="31" spans="1:10">
      <c r="A31" s="5">
        <v>29</v>
      </c>
      <c r="B31" s="5" t="s">
        <v>10</v>
      </c>
      <c r="C31" s="6" t="s">
        <v>72</v>
      </c>
      <c r="D31" s="7" t="s">
        <v>73</v>
      </c>
      <c r="E31" s="5" t="s">
        <v>13</v>
      </c>
      <c r="F31" s="14"/>
      <c r="G31" s="5">
        <v>2</v>
      </c>
      <c r="H31" s="15"/>
      <c r="I31" s="13"/>
      <c r="J31" s="13"/>
    </row>
    <row r="32" spans="1:10">
      <c r="A32" s="5">
        <v>30</v>
      </c>
      <c r="B32" s="5" t="s">
        <v>10</v>
      </c>
      <c r="C32" s="6" t="s">
        <v>74</v>
      </c>
      <c r="D32" s="7" t="s">
        <v>75</v>
      </c>
      <c r="E32" s="5" t="s">
        <v>13</v>
      </c>
      <c r="F32" s="14" t="s">
        <v>33</v>
      </c>
      <c r="G32" s="5">
        <v>1</v>
      </c>
      <c r="H32" s="15"/>
      <c r="I32" s="13"/>
      <c r="J32" s="13"/>
    </row>
    <row r="33" spans="1:10">
      <c r="A33" s="5">
        <v>31</v>
      </c>
      <c r="B33" s="5" t="s">
        <v>10</v>
      </c>
      <c r="C33" s="6" t="s">
        <v>76</v>
      </c>
      <c r="D33" s="7" t="s">
        <v>77</v>
      </c>
      <c r="E33" s="5" t="s">
        <v>13</v>
      </c>
      <c r="F33" s="14" t="s">
        <v>33</v>
      </c>
      <c r="G33" s="5">
        <v>1</v>
      </c>
      <c r="H33" s="15"/>
      <c r="I33" s="13"/>
      <c r="J33" s="13"/>
    </row>
    <row r="34" ht="27" customHeight="1" spans="1:10">
      <c r="A34" s="5">
        <v>32</v>
      </c>
      <c r="B34" s="5" t="s">
        <v>10</v>
      </c>
      <c r="C34" s="6" t="s">
        <v>78</v>
      </c>
      <c r="D34" s="14" t="s">
        <v>79</v>
      </c>
      <c r="E34" s="5" t="s">
        <v>13</v>
      </c>
      <c r="F34" s="5"/>
      <c r="G34" s="5">
        <v>1</v>
      </c>
      <c r="H34" s="13"/>
      <c r="I34" s="13"/>
      <c r="J34" s="13"/>
    </row>
    <row r="35" spans="1:10">
      <c r="A35" s="5">
        <v>33</v>
      </c>
      <c r="B35" s="5" t="s">
        <v>10</v>
      </c>
      <c r="C35" s="14" t="s">
        <v>80</v>
      </c>
      <c r="D35" s="14" t="s">
        <v>81</v>
      </c>
      <c r="E35" s="5" t="s">
        <v>13</v>
      </c>
      <c r="F35" s="14" t="s">
        <v>30</v>
      </c>
      <c r="G35" s="5">
        <v>2</v>
      </c>
      <c r="H35" s="17"/>
      <c r="I35" s="18"/>
      <c r="J35" s="18"/>
    </row>
    <row r="36" spans="1:10">
      <c r="A36" s="19" t="s">
        <v>82</v>
      </c>
      <c r="B36" s="19"/>
      <c r="C36" s="19"/>
      <c r="D36" s="19"/>
      <c r="E36" s="19"/>
      <c r="F36" s="19"/>
      <c r="G36" s="19"/>
      <c r="H36" s="19"/>
      <c r="I36" s="19">
        <v>0</v>
      </c>
      <c r="J36" s="20" t="s">
        <v>8</v>
      </c>
    </row>
    <row r="37" spans="1:10">
      <c r="A37" s="21">
        <v>1</v>
      </c>
      <c r="B37" s="21" t="s">
        <v>83</v>
      </c>
      <c r="C37" s="22" t="s">
        <v>84</v>
      </c>
      <c r="D37" s="22"/>
      <c r="E37" s="21" t="s">
        <v>85</v>
      </c>
      <c r="F37" s="21"/>
      <c r="G37" s="21">
        <v>1</v>
      </c>
      <c r="H37" s="21">
        <v>309</v>
      </c>
      <c r="I37" s="21">
        <f>G37*H37</f>
        <v>309</v>
      </c>
      <c r="J37" s="23" t="s">
        <v>86</v>
      </c>
    </row>
    <row r="38" spans="1:10">
      <c r="A38" s="21">
        <v>2</v>
      </c>
      <c r="B38" s="21" t="s">
        <v>83</v>
      </c>
      <c r="C38" s="22" t="s">
        <v>87</v>
      </c>
      <c r="D38" s="22"/>
      <c r="E38" s="21" t="s">
        <v>85</v>
      </c>
      <c r="F38" s="21"/>
      <c r="G38" s="21">
        <v>1</v>
      </c>
      <c r="H38" s="21">
        <v>60</v>
      </c>
      <c r="I38" s="21">
        <f>G38*H38</f>
        <v>60</v>
      </c>
      <c r="J38" s="23"/>
    </row>
    <row r="39" spans="1:10">
      <c r="A39" s="21">
        <v>3</v>
      </c>
      <c r="B39" s="21" t="s">
        <v>83</v>
      </c>
      <c r="C39" s="22" t="s">
        <v>88</v>
      </c>
      <c r="D39" s="22"/>
      <c r="E39" s="21" t="s">
        <v>85</v>
      </c>
      <c r="F39" s="24" t="s">
        <v>89</v>
      </c>
      <c r="G39" s="21">
        <v>1</v>
      </c>
      <c r="H39" s="21">
        <v>120</v>
      </c>
      <c r="I39" s="24">
        <v>120</v>
      </c>
      <c r="J39" s="23" t="s">
        <v>90</v>
      </c>
    </row>
    <row r="40" spans="1:10">
      <c r="A40" s="21">
        <v>4</v>
      </c>
      <c r="B40" s="21" t="s">
        <v>83</v>
      </c>
      <c r="C40" s="22" t="s">
        <v>91</v>
      </c>
      <c r="D40" s="22"/>
      <c r="E40" s="21" t="s">
        <v>85</v>
      </c>
      <c r="F40" s="24" t="s">
        <v>92</v>
      </c>
      <c r="G40" s="21">
        <v>1</v>
      </c>
      <c r="H40" s="21">
        <v>80</v>
      </c>
      <c r="I40" s="24">
        <v>80</v>
      </c>
      <c r="J40" s="23" t="s">
        <v>90</v>
      </c>
    </row>
    <row r="41" spans="1:10">
      <c r="A41" s="21">
        <v>5</v>
      </c>
      <c r="B41" s="21" t="s">
        <v>83</v>
      </c>
      <c r="C41" s="22" t="s">
        <v>93</v>
      </c>
      <c r="D41" s="21"/>
      <c r="E41" s="21" t="s">
        <v>85</v>
      </c>
      <c r="F41" s="24" t="s">
        <v>92</v>
      </c>
      <c r="G41" s="21">
        <v>15</v>
      </c>
      <c r="H41" s="21">
        <v>95</v>
      </c>
      <c r="I41" s="24">
        <f>G41*H41</f>
        <v>1425</v>
      </c>
      <c r="J41" s="23" t="s">
        <v>90</v>
      </c>
    </row>
    <row r="42" spans="1:10">
      <c r="A42" s="21">
        <v>6</v>
      </c>
      <c r="B42" s="21" t="s">
        <v>83</v>
      </c>
      <c r="C42" s="22" t="s">
        <v>94</v>
      </c>
      <c r="D42" s="21"/>
      <c r="E42" s="21" t="s">
        <v>85</v>
      </c>
      <c r="F42" s="21"/>
      <c r="G42" s="21">
        <v>1</v>
      </c>
      <c r="H42" s="21">
        <v>45</v>
      </c>
      <c r="I42" s="21">
        <f>G42*H42</f>
        <v>45</v>
      </c>
      <c r="J42" s="23" t="s">
        <v>95</v>
      </c>
    </row>
    <row r="43" spans="1:10">
      <c r="A43" s="21">
        <v>7</v>
      </c>
      <c r="B43" s="21" t="s">
        <v>83</v>
      </c>
      <c r="C43" s="22" t="s">
        <v>96</v>
      </c>
      <c r="D43" s="22"/>
      <c r="E43" s="21" t="s">
        <v>85</v>
      </c>
      <c r="F43" s="21"/>
      <c r="G43" s="21">
        <v>1</v>
      </c>
      <c r="H43" s="21">
        <v>17</v>
      </c>
      <c r="I43" s="21">
        <v>47</v>
      </c>
      <c r="J43" s="25" t="s">
        <v>97</v>
      </c>
    </row>
    <row r="44" ht="37" customHeight="1" spans="1:10">
      <c r="A44" s="21">
        <v>8</v>
      </c>
      <c r="B44" s="21" t="s">
        <v>83</v>
      </c>
      <c r="C44" s="22" t="s">
        <v>98</v>
      </c>
      <c r="D44" s="22" t="s">
        <v>99</v>
      </c>
      <c r="E44" s="21" t="s">
        <v>85</v>
      </c>
      <c r="F44" s="21"/>
      <c r="G44" s="21">
        <v>1</v>
      </c>
      <c r="H44" s="21">
        <v>2</v>
      </c>
      <c r="I44" s="21">
        <v>2</v>
      </c>
      <c r="J44" s="25" t="s">
        <v>100</v>
      </c>
    </row>
    <row r="45" spans="1:10">
      <c r="A45" s="21">
        <v>9</v>
      </c>
      <c r="B45" s="21" t="s">
        <v>83</v>
      </c>
      <c r="C45" s="22" t="s">
        <v>101</v>
      </c>
      <c r="D45" s="22"/>
      <c r="E45" s="21" t="s">
        <v>85</v>
      </c>
      <c r="F45" s="21"/>
      <c r="G45" s="21">
        <v>2</v>
      </c>
      <c r="H45" s="21">
        <v>1.6</v>
      </c>
      <c r="I45" s="21">
        <f>G45*H45</f>
        <v>3.2</v>
      </c>
      <c r="J45" s="25" t="s">
        <v>102</v>
      </c>
    </row>
    <row r="46" spans="1:10">
      <c r="A46" s="21">
        <v>10</v>
      </c>
      <c r="B46" s="21" t="s">
        <v>83</v>
      </c>
      <c r="C46" s="22" t="s">
        <v>103</v>
      </c>
      <c r="D46" s="22"/>
      <c r="E46" s="21" t="s">
        <v>85</v>
      </c>
      <c r="F46" s="21"/>
      <c r="G46" s="21">
        <v>1</v>
      </c>
      <c r="H46" s="21">
        <v>20</v>
      </c>
      <c r="I46" s="21">
        <v>20</v>
      </c>
      <c r="J46" s="26" t="s">
        <v>104</v>
      </c>
    </row>
    <row r="47" spans="1:10">
      <c r="A47" s="21">
        <v>11</v>
      </c>
      <c r="B47" s="21" t="s">
        <v>83</v>
      </c>
      <c r="C47" s="22" t="s">
        <v>105</v>
      </c>
      <c r="D47" s="22"/>
      <c r="E47" s="21" t="s">
        <v>106</v>
      </c>
      <c r="F47" s="21"/>
      <c r="G47" s="21">
        <v>1</v>
      </c>
      <c r="H47" s="21">
        <v>46.8</v>
      </c>
      <c r="I47" s="21">
        <f t="shared" ref="I47:I55" si="0">G47*H47</f>
        <v>46.8</v>
      </c>
      <c r="J47" s="27" t="s">
        <v>107</v>
      </c>
    </row>
    <row r="48" spans="1:10">
      <c r="A48" s="21">
        <v>12</v>
      </c>
      <c r="B48" s="21" t="s">
        <v>83</v>
      </c>
      <c r="C48" s="22" t="s">
        <v>108</v>
      </c>
      <c r="D48" s="22"/>
      <c r="E48" s="21" t="s">
        <v>85</v>
      </c>
      <c r="F48" s="21"/>
      <c r="G48" s="21">
        <v>1</v>
      </c>
      <c r="H48" s="21">
        <v>49.5</v>
      </c>
      <c r="I48" s="21">
        <f t="shared" si="0"/>
        <v>49.5</v>
      </c>
      <c r="J48" s="27" t="s">
        <v>109</v>
      </c>
    </row>
    <row r="49" spans="1:11">
      <c r="A49" s="21">
        <v>13</v>
      </c>
      <c r="B49" s="21" t="s">
        <v>83</v>
      </c>
      <c r="C49" s="22" t="s">
        <v>110</v>
      </c>
      <c r="D49" s="22"/>
      <c r="E49" s="21" t="s">
        <v>85</v>
      </c>
      <c r="F49" s="21"/>
      <c r="G49" s="21">
        <v>1</v>
      </c>
      <c r="H49" s="21">
        <v>3.8</v>
      </c>
      <c r="I49" s="21">
        <f t="shared" si="0"/>
        <v>3.8</v>
      </c>
      <c r="J49" s="27" t="s">
        <v>111</v>
      </c>
    </row>
    <row r="50" ht="21" customHeight="1" spans="1:11">
      <c r="A50" s="21">
        <v>14</v>
      </c>
      <c r="B50" s="21" t="s">
        <v>83</v>
      </c>
      <c r="C50" s="22" t="s">
        <v>112</v>
      </c>
      <c r="D50" s="22"/>
      <c r="E50" s="21" t="s">
        <v>113</v>
      </c>
      <c r="F50" s="21"/>
      <c r="G50" s="28">
        <v>3</v>
      </c>
      <c r="H50" s="28">
        <v>2.8</v>
      </c>
      <c r="I50" s="21">
        <f t="shared" si="0"/>
        <v>8.4</v>
      </c>
      <c r="J50" s="23" t="s">
        <v>114</v>
      </c>
    </row>
    <row r="51" ht="25" customHeight="1" spans="1:11">
      <c r="A51" s="21">
        <v>15</v>
      </c>
      <c r="B51" s="21" t="s">
        <v>83</v>
      </c>
      <c r="C51" s="22" t="s">
        <v>115</v>
      </c>
      <c r="D51" s="22"/>
      <c r="E51" s="21" t="s">
        <v>113</v>
      </c>
      <c r="F51" s="21"/>
      <c r="G51" s="28">
        <v>11</v>
      </c>
      <c r="H51" s="29">
        <v>3.5</v>
      </c>
      <c r="I51" s="21">
        <f t="shared" si="0"/>
        <v>38.5</v>
      </c>
      <c r="J51" s="25" t="s">
        <v>116</v>
      </c>
    </row>
    <row r="52" ht="29" customHeight="1" spans="1:11">
      <c r="A52" s="21">
        <v>16</v>
      </c>
      <c r="B52" s="21" t="s">
        <v>83</v>
      </c>
      <c r="C52" s="22" t="s">
        <v>117</v>
      </c>
      <c r="D52" s="22" t="s">
        <v>118</v>
      </c>
      <c r="E52" s="21" t="s">
        <v>113</v>
      </c>
      <c r="F52" s="21"/>
      <c r="G52" s="21">
        <v>4</v>
      </c>
      <c r="H52" s="21">
        <v>0.88</v>
      </c>
      <c r="I52" s="21">
        <f t="shared" si="0"/>
        <v>3.52</v>
      </c>
      <c r="J52" s="30" t="s">
        <v>119</v>
      </c>
      <c r="K52" s="31"/>
    </row>
    <row r="53" ht="27" customHeight="1" spans="1:11">
      <c r="A53" s="21">
        <v>17</v>
      </c>
      <c r="B53" s="21" t="s">
        <v>83</v>
      </c>
      <c r="C53" s="22" t="s">
        <v>120</v>
      </c>
      <c r="D53" s="22"/>
      <c r="E53" s="21" t="s">
        <v>113</v>
      </c>
      <c r="F53" s="21"/>
      <c r="G53" s="21" t="s">
        <v>121</v>
      </c>
      <c r="H53" s="21">
        <v>3.05</v>
      </c>
      <c r="I53" s="21">
        <v>3.05</v>
      </c>
      <c r="J53" s="23" t="s">
        <v>122</v>
      </c>
      <c r="K53" s="31"/>
    </row>
    <row r="54" ht="27" customHeight="1" spans="1:11">
      <c r="A54" s="21">
        <v>18</v>
      </c>
      <c r="B54" s="21" t="s">
        <v>83</v>
      </c>
      <c r="C54" s="22" t="s">
        <v>123</v>
      </c>
      <c r="D54" s="22"/>
      <c r="E54" s="21" t="s">
        <v>113</v>
      </c>
      <c r="F54" s="21"/>
      <c r="G54" s="21" t="s">
        <v>121</v>
      </c>
      <c r="H54" s="21">
        <v>4.05</v>
      </c>
      <c r="I54" s="21">
        <v>4.05</v>
      </c>
      <c r="J54" s="23" t="s">
        <v>122</v>
      </c>
      <c r="K54" s="31"/>
    </row>
    <row r="55" ht="27" customHeight="1" spans="1:11">
      <c r="A55" s="21">
        <v>19</v>
      </c>
      <c r="B55" s="21" t="s">
        <v>83</v>
      </c>
      <c r="C55" s="22" t="s">
        <v>124</v>
      </c>
      <c r="D55" s="22"/>
      <c r="E55" s="21" t="s">
        <v>113</v>
      </c>
      <c r="F55" s="21"/>
      <c r="G55" s="21" t="s">
        <v>121</v>
      </c>
      <c r="H55" s="21">
        <v>4.05</v>
      </c>
      <c r="I55" s="21">
        <v>4.05</v>
      </c>
      <c r="J55" s="23" t="s">
        <v>122</v>
      </c>
      <c r="K55" s="31"/>
    </row>
    <row r="56" ht="23" customHeight="1" spans="1:11">
      <c r="A56" s="21">
        <v>20</v>
      </c>
      <c r="B56" s="21" t="s">
        <v>83</v>
      </c>
      <c r="C56" s="22" t="s">
        <v>125</v>
      </c>
      <c r="D56" s="22"/>
      <c r="E56" s="21" t="s">
        <v>113</v>
      </c>
      <c r="F56" s="21"/>
      <c r="G56" s="21" t="s">
        <v>121</v>
      </c>
      <c r="H56" s="21">
        <v>3.93</v>
      </c>
      <c r="I56" s="21">
        <v>3.93</v>
      </c>
      <c r="J56" s="23" t="s">
        <v>126</v>
      </c>
      <c r="K56" s="31"/>
    </row>
    <row r="57" ht="23" customHeight="1" spans="1:11">
      <c r="A57" s="21">
        <v>21</v>
      </c>
      <c r="B57" s="21" t="s">
        <v>83</v>
      </c>
      <c r="C57" s="22" t="s">
        <v>127</v>
      </c>
      <c r="D57" s="22"/>
      <c r="E57" s="21" t="s">
        <v>113</v>
      </c>
      <c r="F57" s="21"/>
      <c r="G57" s="21" t="s">
        <v>121</v>
      </c>
      <c r="H57" s="21">
        <v>2.08</v>
      </c>
      <c r="I57" s="21">
        <v>2.08</v>
      </c>
      <c r="J57" s="11" t="s">
        <v>128</v>
      </c>
    </row>
    <row r="58" spans="1:11">
      <c r="A58" s="21">
        <v>22</v>
      </c>
      <c r="B58" s="21" t="s">
        <v>83</v>
      </c>
      <c r="C58" s="22" t="s">
        <v>129</v>
      </c>
      <c r="D58" s="22"/>
      <c r="E58" s="21" t="s">
        <v>113</v>
      </c>
      <c r="F58" s="21"/>
      <c r="G58" s="21">
        <v>1</v>
      </c>
      <c r="H58" s="21">
        <v>9</v>
      </c>
      <c r="I58" s="21">
        <v>9</v>
      </c>
      <c r="J58" s="23" t="s">
        <v>130</v>
      </c>
    </row>
    <row r="59" ht="28" customHeight="1" spans="1:11">
      <c r="A59" s="21">
        <v>23</v>
      </c>
      <c r="B59" s="21" t="s">
        <v>83</v>
      </c>
      <c r="C59" s="22" t="s">
        <v>131</v>
      </c>
      <c r="D59" s="22"/>
      <c r="E59" s="21" t="s">
        <v>113</v>
      </c>
      <c r="F59" s="21"/>
      <c r="G59" s="21">
        <v>1</v>
      </c>
      <c r="H59" s="21">
        <v>16</v>
      </c>
      <c r="I59" s="21">
        <f>G59*H59</f>
        <v>16</v>
      </c>
      <c r="J59" s="22" t="s">
        <v>132</v>
      </c>
    </row>
    <row r="60" ht="28" customHeight="1" spans="1:11">
      <c r="A60" s="32" t="s">
        <v>133</v>
      </c>
      <c r="B60" s="33"/>
      <c r="C60" s="34"/>
      <c r="D60" s="35"/>
      <c r="E60" s="35"/>
      <c r="F60" s="35"/>
      <c r="G60" s="35"/>
      <c r="H60" s="35"/>
      <c r="I60" s="36">
        <f>SUM(I3:I58)</f>
        <v>2426.88</v>
      </c>
      <c r="J60" s="37"/>
    </row>
    <row r="61" spans="1:11">
      <c r="A61" s="38" t="s">
        <v>134</v>
      </c>
      <c r="B61" s="39"/>
      <c r="C61" s="39"/>
      <c r="D61" s="39"/>
      <c r="E61" s="39"/>
      <c r="F61" s="39"/>
      <c r="G61" s="39"/>
      <c r="H61" s="39"/>
      <c r="I61" s="39"/>
    </row>
    <row r="62" ht="345" customHeight="1" spans="1:11">
      <c r="A62" s="39"/>
      <c r="B62" s="39"/>
      <c r="C62" s="39"/>
      <c r="D62" s="39"/>
      <c r="E62" s="39"/>
      <c r="F62" s="39"/>
      <c r="G62" s="39"/>
      <c r="H62" s="39"/>
      <c r="I62" s="39"/>
    </row>
  </sheetData>
  <mergeCells count="5">
    <mergeCell ref="A2:J2"/>
    <mergeCell ref="A60:C60"/>
    <mergeCell ref="I3:I35"/>
    <mergeCell ref="J3:J35"/>
    <mergeCell ref="A61:I62"/>
  </mergeCells>
  <hyperlinks>
    <hyperlink ref="J52" r:id="rId1" display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/>
    <hyperlink ref="J37" r:id="rId2" display="https://item.taobao.com/item.htm?id=763812025816&amp;last_time=1790655696&amp;mi_id=0000M9KvAKZdKHX6irXd93nZ9S8044VLMp9XHfosSxlXgV0&amp;scm=1007.13982.82927.0&amp;spm=tbpc.mytb_footmark.item.goods&amp;upStreamPrice=88800"/>
    <hyperlink ref="J48" r:id="rId3" display="https://item.taobao.com/item.htm?from=cart&amp;id=737603917521&amp;mi_id=0000svFiYCCRNyTplS2syupd6wPqm_3g253yiYEiJIUzYWg&amp;skuId=5090650052053&amp;spm=a1z0d.6639537%2F202410.item.d737603917521.12a97484LeTNU7&amp;upStreamPrice=4950"/>
    <hyperlink ref="J47" r:id="rId4" display="https://detail.tmall.com/item.htm?id=775872575316" tooltip="https://detail.tmall.com/item.htm?id=775872575316"/>
    <hyperlink ref="J49" r:id="rId5" display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/>
    <hyperlink ref="J51" r:id="rId6" display="https://item.taobao.com/item.htm?id=539024647147&amp;skuId=5716548727712"/>
    <hyperlink ref="J50" r:id="rId7" display="https://item.taobao.com/item.htm?id=670727787832"/>
    <hyperlink ref="J3" r:id="rId8" display="https://item.taobao.com/item.htm?from=cart&amp;id=1083122166800&amp;mi_id=0000ywbZ5efl4VxxIGb0KHx-3C8BOS37n90MGBh_xmncHd4&amp;skuId=6306393642451&amp;spm=a1z0d.6639537%2F202410.item.d1083122166800.70527484LqKlHG&amp;upStreamPrice=13900"/>
    <hyperlink ref="J58" r:id="rId9" display="https://item.taobao.com/item.htm?adType=orgqzt&amp;from=cart&amp;id=1056442610986&amp;mi_id=0000wOojFoJyiP5dQudTpjmjzfZLEEq7GLdMEB8DaDqMa7Y&amp;skuId=6099342537028&amp;spm=a1z0d.6639537%2F202410.item.d1056442610986.44d57484Ny8pKV&amp;upStreamPrice=900&amp;xxc=qzt_taobaoSearch"/>
    <hyperlink ref="J42" r:id="rId10" display="https://item.taobao.com/item.htm?spm=a1z0d.6639537%2F202410.item.d575365901461.511774843C6ViG&amp;id=575365901461&amp;xxc=shop&amp;from=cart&amp;skuId=5435424470243&amp;mi_id=0000xzcmwFVCRAh37nhTBqqPxAc4BB-aXBAZs9-SHZnxT_s"/>
    <hyperlink ref="J39" r:id="rId11" display="https://github.com/fanhao375/microduck-replica" tooltip="https://github.com/fanhao375/microduck-replica"/>
    <hyperlink ref="J40" r:id="rId11" display="https://github.com/fanhao375/microduck-replica"/>
    <hyperlink ref="J41" r:id="rId11" display="https://github.com/fanhao375/microduck-replica"/>
    <hyperlink ref="J45" r:id="rId12" display="https://item.taobao.com/item.htm?from=cart&amp;id=1066300439603&amp;mi_id=0000idrzZ0iZmNePV-H8uLJ0q--7Nuk50iH4KmlQjt7l16Q&amp;skuId=6116801109787&amp;spm=a1z0d.6639537%2F202410.item.d1066300439603.20807484wDo29i&amp;upStreamPrice=160"/>
    <hyperlink ref="J59" r:id="rId13" display="https://detail.tmall.com/item.htm?id=888852278057&amp;mi_id=0000Bug6nFYlEVkT2CGWMwXKqUSbi-0G_VP4pnfiGwBOnrU&amp;spm=tbpc.boughtlist.suborder_itemtitle.1.c3892e8dY9OLZg&amp;skuId=5902232407790"/>
    <hyperlink ref="J53" r:id="rId14" display="https://detail.tmall.com/item.htm?id=534923831046&amp;mi_id=0000lLHxCRqtZ8_pqc3QGIagm4EgOL8KYhEEg_ZEZdQEaCI&amp;spm=tbpc.boughtlist.suborder_itemtitle.1.c3892e8dY9OLZg"/>
    <hyperlink ref="J54" r:id="rId14" display="https://detail.tmall.com/item.htm?id=534923831046&amp;mi_id=0000lLHxCRqtZ8_pqc3QGIagm4EgOL8KYhEEg_ZEZdQEaCI&amp;spm=tbpc.boughtlist.suborder_itemtitle.1.c3892e8dY9OLZg"/>
    <hyperlink ref="J55" r:id="rId14" display="https://detail.tmall.com/item.htm?id=534923831046&amp;mi_id=0000lLHxCRqtZ8_pqc3QGIagm4EgOL8KYhEEg_ZEZdQEaCI&amp;spm=tbpc.boughtlist.suborder_itemtitle.1.c3892e8dY9OLZg"/>
    <hyperlink ref="J56" r:id="rId15" display="https://item.taobao.com/item.htm?spm=a1z0d.6639537%2F202410.item.d534923831046.10db74840oHq5F&amp;id=534923831046&amp;from=cart&amp;skuId=5947341310639&amp;mi_id=0000RGt64BzUSirBb2ZGiESDHLYHZCCldpvt2pjiQe6DwTE&amp;upStreamPrice=700"/>
    <hyperlink ref="J57" r:id="rId16" display="https://item.taobao.com/item.htm?spm=a1z0d.6639537%2F202410.item.d534923831046.10db74840oHq5F&amp;id=534923831046&amp;from=cart&amp;skuId=5947341310640&amp;mi_id=0000RGt64BzUSirBb2ZGiESDHLYHZCCldpvt2pjiQe6DwTE&amp;upStreamPrice=700"/>
    <hyperlink ref="J44" r:id="rId17" display="https://item.taobao.com/item.htm?id=1089647066599&amp;mi_id=0000KqIW0wThzcfg1FqUc6VdYVF2XtZv0Ep94yoyuJ-fYl8&amp;pvid=a7a9bbc1-3e60-439d-90a4-0d4fdd081d6d&amp;scm=1007.54964.509742.0&amp;skuId=6146736860515&amp;spm=pc_detail.30350276.201876.d4.18bd7dd6DvXX58&amp;utparam=%7B%22x_object_type%22%3A%22item%22%2C%22matchType%22%3A%22MAIN_SWING_I2I%22%2C%22item_price%22%3A%222%22%2C%22umpCalled%22%3Atrue%2C%22pc_scene%22%3A%2220001%22%2C%22userId%22%3A1038948925%2C%22ab_info%22%3A%2244964%23509742%23-1%23%22%2C%22tpp_buckets%22%3A%2244964%23509742%23-1%23%22%2C%22aplus_abtest%22%3A%22fe88f406097dbf1addeadb9550070432%22%2C%22isLogin%22%3Atrue%2C%22abid%22%3A%220%22%2C%22pc_pvid%22%3A%22a7a9bbc1-3e60-439d-90a4-0d4fdd081d6d%22%2C%22isWeekLogin%22%3Afalse%2C%22rn%22%3A3%2C%22item_ecpm%22%3A0%2C%22ump_price%22%3A%222%22%2C%22isXClose%22%3Afalse%2C%22x_object_id%22%3A1089647066599%7D&amp;xxc=home_recommend"/>
    <hyperlink ref="J43" r:id="rId18" display="https://item.taobao.com/item.htm?adType=orgqzt&amp;from=cart&amp;id=769425140324&amp;mi_id=00009VN3uJH9Mvl1nh6sR6uszyaiYL6FFhvjGBj6PAaJbUg&amp;skuId=5445604550341&amp;spm=a1z0d.6639537%2F202410.item.d769425140324.5a377484k96nZS&amp;upStreamPrice=5500&amp;xxc=qzt_taobaoSea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翔宇cjk</cp:lastModifiedBy>
  <dcterms:created xsi:type="dcterms:W3CDTF">2026-09-05T08:17:00Z</dcterms:created>
  <dcterms:modified xsi:type="dcterms:W3CDTF">2026-10-23T09:30:36Z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CB2C7926C29349D7B83160C5711108C0_12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